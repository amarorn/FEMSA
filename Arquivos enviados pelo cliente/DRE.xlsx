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01915205\Downloads\"/>
    </mc:Choice>
  </mc:AlternateContent>
  <xr:revisionPtr revIDLastSave="0" documentId="13_ncr:1_{86F0BB25-DF43-416F-B20C-BCB88BFBA586}" xr6:coauthVersionLast="47" xr6:coauthVersionMax="47" xr10:uidLastSave="{00000000-0000-0000-0000-000000000000}"/>
  <bookViews>
    <workbookView xWindow="-110" yWindow="-110" windowWidth="18490" windowHeight="12220" activeTab="2" xr2:uid="{2DF19C63-03BC-43B2-99BD-D271A77514BE}"/>
  </bookViews>
  <sheets>
    <sheet name="Análises" sheetId="1" r:id="rId1"/>
    <sheet name="Formato Cenários" sheetId="2" r:id="rId2"/>
    <sheet name="Formato white spa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</calcChain>
</file>

<file path=xl/sharedStrings.xml><?xml version="1.0" encoding="utf-8"?>
<sst xmlns="http://schemas.openxmlformats.org/spreadsheetml/2006/main" count="184" uniqueCount="115">
  <si>
    <t>Volume</t>
  </si>
  <si>
    <t>Possibilidades de ajustar no cenário?</t>
  </si>
  <si>
    <t>Mudar produto</t>
  </si>
  <si>
    <t>Mudar categoria</t>
  </si>
  <si>
    <t>Mudar total e redistribuir mix</t>
  </si>
  <si>
    <t>Mudar mix e manter total</t>
  </si>
  <si>
    <t>Preço</t>
  </si>
  <si>
    <t>Impacto na receita</t>
  </si>
  <si>
    <t>Impacto no volume (considerando elasticidades informadas)</t>
  </si>
  <si>
    <t>3 cenários sendo comparáveis entre si</t>
  </si>
  <si>
    <t>1) Cenário BAU - 100% informado</t>
  </si>
  <si>
    <t>2) Cenário simulado com premissas iniciais</t>
  </si>
  <si>
    <t>3) Cenário simulado com revisões</t>
  </si>
  <si>
    <t>Comparação entre os 3 cenários</t>
  </si>
  <si>
    <t>Possibilidade de ver o total geral, total categoria, ou filtrado por SKU</t>
  </si>
  <si>
    <t>Filtros comuns: tamanho, retornabilidade, sabor, marca, categoria</t>
  </si>
  <si>
    <t>MM Nominal Terms in Local Currency</t>
  </si>
  <si>
    <t>Volume (millions of unit cases)</t>
  </si>
  <si>
    <t>Average Price</t>
  </si>
  <si>
    <t>Gross Revenue</t>
  </si>
  <si>
    <t>Discounts &amp; Others</t>
  </si>
  <si>
    <t>Taxes</t>
  </si>
  <si>
    <t>Net Revenue</t>
  </si>
  <si>
    <t>Other Operating Revenue</t>
  </si>
  <si>
    <t>Total Revenue</t>
  </si>
  <si>
    <t>Concentrate</t>
  </si>
  <si>
    <t>Sweeteners</t>
  </si>
  <si>
    <t>Pet</t>
  </si>
  <si>
    <t>Can</t>
  </si>
  <si>
    <t>Cap</t>
  </si>
  <si>
    <t>Glass</t>
  </si>
  <si>
    <t>Other Raw Materials</t>
  </si>
  <si>
    <t>Purchase to Third Parties</t>
  </si>
  <si>
    <t>Fixed Income</t>
  </si>
  <si>
    <t>Other Variable COGS</t>
  </si>
  <si>
    <t>Variable COGS</t>
  </si>
  <si>
    <t>Labor</t>
  </si>
  <si>
    <t>Freight</t>
  </si>
  <si>
    <t>Other Variable Selling Expenses</t>
  </si>
  <si>
    <t>Variable SG&amp;A</t>
  </si>
  <si>
    <t>Variable Contribution</t>
  </si>
  <si>
    <t>Labor FC</t>
  </si>
  <si>
    <t>Depreciation FC</t>
  </si>
  <si>
    <t>Maintenance FC</t>
  </si>
  <si>
    <t>Other Fixed COGS</t>
  </si>
  <si>
    <t>Fixed COGS</t>
  </si>
  <si>
    <t>Total COGS</t>
  </si>
  <si>
    <t>Labor SG&amp;A</t>
  </si>
  <si>
    <t>Depreciation SG&amp;A</t>
  </si>
  <si>
    <t>Maintenance SG&amp;A</t>
  </si>
  <si>
    <t>Others SG&amp;A</t>
  </si>
  <si>
    <t>Fixed SG&amp;A</t>
  </si>
  <si>
    <t>Admin Labor Expense</t>
  </si>
  <si>
    <t>Admin Depreciation Expense</t>
  </si>
  <si>
    <t>Admin Maintenance</t>
  </si>
  <si>
    <t>Admin Other Fixed Expense</t>
  </si>
  <si>
    <t>Corporate Charge Allocation</t>
  </si>
  <si>
    <t>Administrative Expenses</t>
  </si>
  <si>
    <t>TOTAL VARIABLE COSTS AND EXPENSES</t>
  </si>
  <si>
    <t>TOTAL FIXED COSTS AND EXPENSES/ADMIN</t>
  </si>
  <si>
    <t>DME</t>
  </si>
  <si>
    <t>Other Marketing Expenses</t>
  </si>
  <si>
    <t>Marketing Expenses</t>
  </si>
  <si>
    <t>Operative Financing Result (CIF)</t>
  </si>
  <si>
    <t>Equity Method</t>
  </si>
  <si>
    <t>Other Expenses</t>
  </si>
  <si>
    <t>OPERATIVE INCOME (EBIT)</t>
  </si>
  <si>
    <t>Indicador</t>
  </si>
  <si>
    <t>É o volume informado. Para os cenários, usamos o volume do rolling</t>
  </si>
  <si>
    <t>Fórmula: Net rev/volume</t>
  </si>
  <si>
    <t>Não precisamos calcular</t>
  </si>
  <si>
    <t>É a Receita Líquida informada</t>
  </si>
  <si>
    <t>Cód</t>
  </si>
  <si>
    <t>6+7</t>
  </si>
  <si>
    <t>Calcular por regra de três para os SKUS, mantendo % de concentrado sobre RL</t>
  </si>
  <si>
    <t>É o valor informado</t>
  </si>
  <si>
    <t>9+10+11+12+13+14+15+16+17+18</t>
  </si>
  <si>
    <t>20+21+22</t>
  </si>
  <si>
    <t>8-19-23</t>
  </si>
  <si>
    <t>25+26+27+28</t>
  </si>
  <si>
    <t>19+29</t>
  </si>
  <si>
    <t>31+32+33+34</t>
  </si>
  <si>
    <t>36+37+38+39+40</t>
  </si>
  <si>
    <t>19+24</t>
  </si>
  <si>
    <t>29+35+41</t>
  </si>
  <si>
    <t>% sobre RL</t>
  </si>
  <si>
    <t>44+45</t>
  </si>
  <si>
    <t>47+48</t>
  </si>
  <si>
    <t>8-(42+43+46+49)</t>
  </si>
  <si>
    <t>Cálculo</t>
  </si>
  <si>
    <t>Ajuste no cenário</t>
  </si>
  <si>
    <t>% crescimento ou valor absoluto</t>
  </si>
  <si>
    <t>% crescimento</t>
  </si>
  <si>
    <t>Vol x preço</t>
  </si>
  <si>
    <t>Fórmula</t>
  </si>
  <si>
    <t>Real + % de ajuste (opcional) ou novo valor absoluto</t>
  </si>
  <si>
    <t>Valor unitário x novo volume x % de reajuste (opcional)</t>
  </si>
  <si>
    <t>original + % de reajuste de insumos</t>
  </si>
  <si>
    <t>Demais</t>
  </si>
  <si>
    <t>Mudar valor absoluto ou % de incremento vs original</t>
  </si>
  <si>
    <t>Entregáveis</t>
  </si>
  <si>
    <t>Cenário completo</t>
  </si>
  <si>
    <t>SKUs que ficam sem rentabilidade nos novos cenários</t>
  </si>
  <si>
    <t>Mapa dos principais problemas (exemplo: o que mais "piorou" meu resultado? Foi custo de lata? Foi aumento de vendas de um produto sem rentabilidade)</t>
  </si>
  <si>
    <t>Matriz</t>
  </si>
  <si>
    <t>Produto</t>
  </si>
  <si>
    <t>A</t>
  </si>
  <si>
    <t>B</t>
  </si>
  <si>
    <t>C</t>
  </si>
  <si>
    <t>...</t>
  </si>
  <si>
    <t>Variável:</t>
  </si>
  <si>
    <t>São Paulo</t>
  </si>
  <si>
    <t>Minas Gerais</t>
  </si>
  <si>
    <t>Exemplo de conclusão</t>
  </si>
  <si>
    <t>Produto C ausente de SP. Se atingisse mix de MG, traria X% a mais de receita...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</si>
</sst>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0"/>
      <name val="Trebuchet MS"/>
      <family val="2"/>
    </font>
    <font>
      <b/>
      <sz val="11"/>
      <color theme="0"/>
      <name val="Trebuchet MS"/>
      <family val="2"/>
    </font>
    <font>
      <sz val="10"/>
      <color indexed="8"/>
      <name val="Trebuchet MS"/>
      <family val="2"/>
    </font>
    <font>
      <b/>
      <sz val="10"/>
      <color indexed="8"/>
      <name val="Trebuchet MS"/>
      <family val="2"/>
    </font>
    <font>
      <b/>
      <sz val="10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1" applyFont="1" applyFill="1"/>
    <xf numFmtId="0" fontId="3" fillId="2" borderId="0" xfId="1" applyFont="1" applyFill="1" applyAlignment="1">
      <alignment horizontal="center"/>
    </xf>
    <xf numFmtId="0" fontId="4" fillId="0" borderId="0" xfId="0" applyFont="1" applyAlignment="1" applyProtection="1">
      <alignment horizontal="left" vertical="center" indent="2"/>
      <protection locked="0"/>
    </xf>
    <xf numFmtId="0" fontId="5" fillId="3" borderId="0" xfId="0" applyFont="1" applyFill="1" applyAlignment="1" applyProtection="1">
      <alignment horizontal="left" vertical="center" indent="2"/>
      <protection locked="0"/>
    </xf>
    <xf numFmtId="0" fontId="6" fillId="3" borderId="0" xfId="0" applyFont="1" applyFill="1" applyAlignment="1" applyProtection="1">
      <alignment horizontal="left" vertical="center" indent="2"/>
      <protection locked="0"/>
    </xf>
    <xf numFmtId="0" fontId="5" fillId="3" borderId="0" xfId="0" applyFont="1" applyFill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2AF79BB6-E00A-4D1B-8418-E18166FF9A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05CE-1BE8-49D5-B2C8-09CCC819F7F3}">
  <dimension ref="A2:C33"/>
  <sheetViews>
    <sheetView workbookViewId="0">
      <selection activeCell="B34" sqref="B34"/>
    </sheetView>
  </sheetViews>
  <sheetFormatPr defaultRowHeight="14.5" x14ac:dyDescent="0.35"/>
  <sheetData>
    <row r="2" spans="1:3" x14ac:dyDescent="0.35">
      <c r="B2" t="s">
        <v>9</v>
      </c>
    </row>
    <row r="4" spans="1:3" x14ac:dyDescent="0.35">
      <c r="B4" t="s">
        <v>10</v>
      </c>
    </row>
    <row r="5" spans="1:3" x14ac:dyDescent="0.35">
      <c r="B5" t="s">
        <v>11</v>
      </c>
    </row>
    <row r="6" spans="1:3" x14ac:dyDescent="0.35">
      <c r="B6" t="s">
        <v>12</v>
      </c>
    </row>
    <row r="8" spans="1:3" x14ac:dyDescent="0.35">
      <c r="B8" t="s">
        <v>13</v>
      </c>
    </row>
    <row r="10" spans="1:3" x14ac:dyDescent="0.35">
      <c r="B10" t="s">
        <v>14</v>
      </c>
    </row>
    <row r="11" spans="1:3" x14ac:dyDescent="0.35">
      <c r="C11" t="s">
        <v>15</v>
      </c>
    </row>
    <row r="14" spans="1:3" x14ac:dyDescent="0.35">
      <c r="A14" t="s">
        <v>1</v>
      </c>
    </row>
    <row r="16" spans="1:3" x14ac:dyDescent="0.35">
      <c r="B16" t="s">
        <v>0</v>
      </c>
    </row>
    <row r="17" spans="1:3" x14ac:dyDescent="0.35">
      <c r="C17" t="s">
        <v>2</v>
      </c>
    </row>
    <row r="18" spans="1:3" x14ac:dyDescent="0.35">
      <c r="C18" t="s">
        <v>3</v>
      </c>
    </row>
    <row r="19" spans="1:3" x14ac:dyDescent="0.35">
      <c r="C19" t="s">
        <v>5</v>
      </c>
    </row>
    <row r="20" spans="1:3" x14ac:dyDescent="0.35">
      <c r="C20" t="s">
        <v>4</v>
      </c>
    </row>
    <row r="22" spans="1:3" x14ac:dyDescent="0.35">
      <c r="B22" t="s">
        <v>6</v>
      </c>
    </row>
    <row r="23" spans="1:3" x14ac:dyDescent="0.35">
      <c r="C23" t="s">
        <v>7</v>
      </c>
    </row>
    <row r="24" spans="1:3" x14ac:dyDescent="0.35">
      <c r="C24" t="s">
        <v>8</v>
      </c>
    </row>
    <row r="26" spans="1:3" x14ac:dyDescent="0.35">
      <c r="B26" t="s">
        <v>98</v>
      </c>
    </row>
    <row r="27" spans="1:3" x14ac:dyDescent="0.35">
      <c r="C27" t="s">
        <v>99</v>
      </c>
    </row>
    <row r="30" spans="1:3" x14ac:dyDescent="0.35">
      <c r="A30" t="s">
        <v>100</v>
      </c>
    </row>
    <row r="31" spans="1:3" x14ac:dyDescent="0.35">
      <c r="B31" t="s">
        <v>101</v>
      </c>
    </row>
    <row r="32" spans="1:3" x14ac:dyDescent="0.35">
      <c r="B32" t="s">
        <v>102</v>
      </c>
    </row>
    <row r="33" spans="2:2" x14ac:dyDescent="0.35">
      <c r="B33" t="s">
        <v>103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EC75-F04A-4DC8-8CC5-B0092D18FD91}">
  <dimension ref="A1:D53"/>
  <sheetViews>
    <sheetView zoomScale="70" zoomScaleNormal="70" workbookViewId="0">
      <selection activeCell="D13" sqref="D13:D21"/>
    </sheetView>
  </sheetViews>
  <sheetFormatPr defaultRowHeight="14.5" x14ac:dyDescent="0.35"/>
  <cols>
    <col min="2" max="2" width="37.26953125" bestFit="1" customWidth="1"/>
    <col min="3" max="3" width="66.7265625" bestFit="1" customWidth="1"/>
    <col min="4" max="4" width="25.90625" customWidth="1"/>
  </cols>
  <sheetData>
    <row r="1" spans="1:4" x14ac:dyDescent="0.35">
      <c r="B1" t="s">
        <v>67</v>
      </c>
    </row>
    <row r="3" spans="1:4" x14ac:dyDescent="0.35">
      <c r="A3" t="s">
        <v>72</v>
      </c>
      <c r="B3" s="1" t="s">
        <v>16</v>
      </c>
      <c r="C3" s="2" t="s">
        <v>89</v>
      </c>
      <c r="D3" s="2" t="s">
        <v>90</v>
      </c>
    </row>
    <row r="4" spans="1:4" x14ac:dyDescent="0.35">
      <c r="A4">
        <v>1</v>
      </c>
      <c r="B4" s="3" t="s">
        <v>17</v>
      </c>
      <c r="C4" t="s">
        <v>68</v>
      </c>
      <c r="D4" t="s">
        <v>91</v>
      </c>
    </row>
    <row r="5" spans="1:4" x14ac:dyDescent="0.35">
      <c r="A5">
        <f>1+A4</f>
        <v>2</v>
      </c>
      <c r="B5" s="3" t="s">
        <v>18</v>
      </c>
      <c r="C5" t="s">
        <v>69</v>
      </c>
      <c r="D5" t="s">
        <v>92</v>
      </c>
    </row>
    <row r="6" spans="1:4" x14ac:dyDescent="0.35">
      <c r="A6">
        <f t="shared" ref="A6:A53" si="0">1+A5</f>
        <v>3</v>
      </c>
      <c r="B6" s="4" t="s">
        <v>19</v>
      </c>
      <c r="C6" t="s">
        <v>70</v>
      </c>
    </row>
    <row r="7" spans="1:4" x14ac:dyDescent="0.35">
      <c r="A7">
        <f t="shared" si="0"/>
        <v>4</v>
      </c>
      <c r="B7" s="3" t="s">
        <v>20</v>
      </c>
      <c r="C7" t="s">
        <v>70</v>
      </c>
    </row>
    <row r="8" spans="1:4" x14ac:dyDescent="0.35">
      <c r="A8">
        <f t="shared" si="0"/>
        <v>5</v>
      </c>
      <c r="B8" s="3" t="s">
        <v>21</v>
      </c>
      <c r="C8" t="s">
        <v>70</v>
      </c>
    </row>
    <row r="9" spans="1:4" x14ac:dyDescent="0.35">
      <c r="A9">
        <f t="shared" si="0"/>
        <v>6</v>
      </c>
      <c r="B9" s="5" t="s">
        <v>22</v>
      </c>
      <c r="C9" t="s">
        <v>71</v>
      </c>
      <c r="D9" t="s">
        <v>93</v>
      </c>
    </row>
    <row r="10" spans="1:4" x14ac:dyDescent="0.35">
      <c r="A10">
        <f t="shared" si="0"/>
        <v>7</v>
      </c>
      <c r="B10" s="3" t="s">
        <v>23</v>
      </c>
      <c r="C10" t="s">
        <v>70</v>
      </c>
    </row>
    <row r="11" spans="1:4" x14ac:dyDescent="0.35">
      <c r="A11">
        <f t="shared" si="0"/>
        <v>8</v>
      </c>
      <c r="B11" s="5" t="s">
        <v>24</v>
      </c>
      <c r="C11" t="s">
        <v>73</v>
      </c>
      <c r="D11" t="s">
        <v>94</v>
      </c>
    </row>
    <row r="12" spans="1:4" x14ac:dyDescent="0.35">
      <c r="A12">
        <f t="shared" si="0"/>
        <v>9</v>
      </c>
      <c r="B12" s="3" t="s">
        <v>25</v>
      </c>
      <c r="C12" t="s">
        <v>74</v>
      </c>
      <c r="D12" t="s">
        <v>74</v>
      </c>
    </row>
    <row r="13" spans="1:4" x14ac:dyDescent="0.35">
      <c r="A13">
        <f t="shared" si="0"/>
        <v>10</v>
      </c>
      <c r="B13" s="3" t="s">
        <v>26</v>
      </c>
      <c r="C13" t="s">
        <v>75</v>
      </c>
      <c r="D13" t="s">
        <v>97</v>
      </c>
    </row>
    <row r="14" spans="1:4" x14ac:dyDescent="0.35">
      <c r="A14">
        <f t="shared" si="0"/>
        <v>11</v>
      </c>
      <c r="B14" s="3" t="s">
        <v>27</v>
      </c>
      <c r="C14" t="s">
        <v>75</v>
      </c>
      <c r="D14" t="s">
        <v>97</v>
      </c>
    </row>
    <row r="15" spans="1:4" x14ac:dyDescent="0.35">
      <c r="A15">
        <f t="shared" si="0"/>
        <v>12</v>
      </c>
      <c r="B15" s="3" t="s">
        <v>28</v>
      </c>
      <c r="C15" t="s">
        <v>75</v>
      </c>
      <c r="D15" t="s">
        <v>97</v>
      </c>
    </row>
    <row r="16" spans="1:4" x14ac:dyDescent="0.35">
      <c r="A16">
        <f t="shared" si="0"/>
        <v>13</v>
      </c>
      <c r="B16" s="3" t="s">
        <v>29</v>
      </c>
      <c r="C16" t="s">
        <v>75</v>
      </c>
      <c r="D16" t="s">
        <v>97</v>
      </c>
    </row>
    <row r="17" spans="1:4" x14ac:dyDescent="0.35">
      <c r="A17">
        <f t="shared" si="0"/>
        <v>14</v>
      </c>
      <c r="B17" s="3" t="s">
        <v>30</v>
      </c>
      <c r="C17" t="s">
        <v>75</v>
      </c>
      <c r="D17" t="s">
        <v>97</v>
      </c>
    </row>
    <row r="18" spans="1:4" x14ac:dyDescent="0.35">
      <c r="A18">
        <f t="shared" si="0"/>
        <v>15</v>
      </c>
      <c r="B18" s="3" t="s">
        <v>31</v>
      </c>
      <c r="C18" t="s">
        <v>75</v>
      </c>
      <c r="D18" t="s">
        <v>97</v>
      </c>
    </row>
    <row r="19" spans="1:4" x14ac:dyDescent="0.35">
      <c r="A19">
        <f t="shared" si="0"/>
        <v>16</v>
      </c>
      <c r="B19" s="3" t="s">
        <v>32</v>
      </c>
      <c r="C19" t="s">
        <v>75</v>
      </c>
      <c r="D19" t="s">
        <v>97</v>
      </c>
    </row>
    <row r="20" spans="1:4" x14ac:dyDescent="0.35">
      <c r="A20">
        <f t="shared" si="0"/>
        <v>17</v>
      </c>
      <c r="B20" s="3" t="s">
        <v>33</v>
      </c>
      <c r="C20" t="s">
        <v>75</v>
      </c>
      <c r="D20" t="s">
        <v>97</v>
      </c>
    </row>
    <row r="21" spans="1:4" x14ac:dyDescent="0.35">
      <c r="A21">
        <f t="shared" si="0"/>
        <v>18</v>
      </c>
      <c r="B21" s="3" t="s">
        <v>34</v>
      </c>
      <c r="C21" t="s">
        <v>75</v>
      </c>
      <c r="D21" t="s">
        <v>97</v>
      </c>
    </row>
    <row r="22" spans="1:4" x14ac:dyDescent="0.35">
      <c r="A22">
        <f t="shared" si="0"/>
        <v>19</v>
      </c>
      <c r="B22" s="4" t="s">
        <v>35</v>
      </c>
      <c r="C22" t="s">
        <v>76</v>
      </c>
      <c r="D22" t="s">
        <v>94</v>
      </c>
    </row>
    <row r="23" spans="1:4" x14ac:dyDescent="0.35">
      <c r="A23">
        <f t="shared" si="0"/>
        <v>20</v>
      </c>
      <c r="B23" s="3" t="s">
        <v>36</v>
      </c>
      <c r="C23" t="s">
        <v>75</v>
      </c>
      <c r="D23" t="s">
        <v>96</v>
      </c>
    </row>
    <row r="24" spans="1:4" x14ac:dyDescent="0.35">
      <c r="A24">
        <f t="shared" si="0"/>
        <v>21</v>
      </c>
      <c r="B24" s="3" t="s">
        <v>37</v>
      </c>
      <c r="C24" t="s">
        <v>75</v>
      </c>
      <c r="D24" t="s">
        <v>96</v>
      </c>
    </row>
    <row r="25" spans="1:4" x14ac:dyDescent="0.35">
      <c r="A25">
        <f t="shared" si="0"/>
        <v>22</v>
      </c>
      <c r="B25" s="3" t="s">
        <v>38</v>
      </c>
      <c r="C25" t="s">
        <v>75</v>
      </c>
      <c r="D25" t="s">
        <v>96</v>
      </c>
    </row>
    <row r="26" spans="1:4" x14ac:dyDescent="0.35">
      <c r="A26">
        <f t="shared" si="0"/>
        <v>23</v>
      </c>
      <c r="B26" s="4" t="s">
        <v>39</v>
      </c>
      <c r="C26" t="s">
        <v>77</v>
      </c>
      <c r="D26" t="s">
        <v>94</v>
      </c>
    </row>
    <row r="27" spans="1:4" x14ac:dyDescent="0.35">
      <c r="A27">
        <f t="shared" si="0"/>
        <v>24</v>
      </c>
      <c r="B27" s="4" t="s">
        <v>40</v>
      </c>
      <c r="C27" t="s">
        <v>78</v>
      </c>
      <c r="D27" t="s">
        <v>94</v>
      </c>
    </row>
    <row r="28" spans="1:4" x14ac:dyDescent="0.35">
      <c r="A28">
        <f t="shared" si="0"/>
        <v>25</v>
      </c>
      <c r="B28" s="3" t="s">
        <v>41</v>
      </c>
      <c r="C28" t="s">
        <v>75</v>
      </c>
      <c r="D28" t="s">
        <v>95</v>
      </c>
    </row>
    <row r="29" spans="1:4" x14ac:dyDescent="0.35">
      <c r="A29">
        <f t="shared" si="0"/>
        <v>26</v>
      </c>
      <c r="B29" s="3" t="s">
        <v>42</v>
      </c>
      <c r="C29" t="s">
        <v>75</v>
      </c>
      <c r="D29" t="s">
        <v>95</v>
      </c>
    </row>
    <row r="30" spans="1:4" x14ac:dyDescent="0.35">
      <c r="A30">
        <f t="shared" si="0"/>
        <v>27</v>
      </c>
      <c r="B30" s="3" t="s">
        <v>43</v>
      </c>
      <c r="C30" t="s">
        <v>75</v>
      </c>
      <c r="D30" t="s">
        <v>95</v>
      </c>
    </row>
    <row r="31" spans="1:4" x14ac:dyDescent="0.35">
      <c r="A31">
        <f t="shared" si="0"/>
        <v>28</v>
      </c>
      <c r="B31" s="3" t="s">
        <v>44</v>
      </c>
      <c r="C31" t="s">
        <v>75</v>
      </c>
      <c r="D31" t="s">
        <v>95</v>
      </c>
    </row>
    <row r="32" spans="1:4" x14ac:dyDescent="0.35">
      <c r="A32">
        <f t="shared" si="0"/>
        <v>29</v>
      </c>
      <c r="B32" s="4" t="s">
        <v>45</v>
      </c>
      <c r="C32" t="s">
        <v>79</v>
      </c>
      <c r="D32" t="s">
        <v>94</v>
      </c>
    </row>
    <row r="33" spans="1:4" x14ac:dyDescent="0.35">
      <c r="A33">
        <f t="shared" si="0"/>
        <v>30</v>
      </c>
      <c r="B33" s="4" t="s">
        <v>46</v>
      </c>
      <c r="C33" t="s">
        <v>80</v>
      </c>
      <c r="D33" t="s">
        <v>94</v>
      </c>
    </row>
    <row r="34" spans="1:4" x14ac:dyDescent="0.35">
      <c r="A34">
        <f t="shared" si="0"/>
        <v>31</v>
      </c>
      <c r="B34" s="3" t="s">
        <v>47</v>
      </c>
      <c r="C34" t="s">
        <v>75</v>
      </c>
      <c r="D34" t="s">
        <v>95</v>
      </c>
    </row>
    <row r="35" spans="1:4" x14ac:dyDescent="0.35">
      <c r="A35">
        <f t="shared" si="0"/>
        <v>32</v>
      </c>
      <c r="B35" s="3" t="s">
        <v>48</v>
      </c>
      <c r="C35" t="s">
        <v>75</v>
      </c>
      <c r="D35" t="s">
        <v>95</v>
      </c>
    </row>
    <row r="36" spans="1:4" x14ac:dyDescent="0.35">
      <c r="A36">
        <f t="shared" si="0"/>
        <v>33</v>
      </c>
      <c r="B36" s="3" t="s">
        <v>49</v>
      </c>
      <c r="C36" t="s">
        <v>75</v>
      </c>
      <c r="D36" t="s">
        <v>95</v>
      </c>
    </row>
    <row r="37" spans="1:4" x14ac:dyDescent="0.35">
      <c r="A37">
        <f t="shared" si="0"/>
        <v>34</v>
      </c>
      <c r="B37" s="3" t="s">
        <v>50</v>
      </c>
      <c r="C37" t="s">
        <v>75</v>
      </c>
      <c r="D37" t="s">
        <v>95</v>
      </c>
    </row>
    <row r="38" spans="1:4" x14ac:dyDescent="0.35">
      <c r="A38">
        <f t="shared" si="0"/>
        <v>35</v>
      </c>
      <c r="B38" s="4" t="s">
        <v>51</v>
      </c>
      <c r="C38" t="s">
        <v>81</v>
      </c>
      <c r="D38" t="s">
        <v>94</v>
      </c>
    </row>
    <row r="39" spans="1:4" x14ac:dyDescent="0.35">
      <c r="A39">
        <f t="shared" si="0"/>
        <v>36</v>
      </c>
      <c r="B39" s="3" t="s">
        <v>52</v>
      </c>
      <c r="C39" t="s">
        <v>75</v>
      </c>
      <c r="D39" t="s">
        <v>95</v>
      </c>
    </row>
    <row r="40" spans="1:4" x14ac:dyDescent="0.35">
      <c r="A40">
        <f t="shared" si="0"/>
        <v>37</v>
      </c>
      <c r="B40" s="3" t="s">
        <v>53</v>
      </c>
      <c r="C40" t="s">
        <v>75</v>
      </c>
      <c r="D40" t="s">
        <v>95</v>
      </c>
    </row>
    <row r="41" spans="1:4" x14ac:dyDescent="0.35">
      <c r="A41">
        <f t="shared" si="0"/>
        <v>38</v>
      </c>
      <c r="B41" s="3" t="s">
        <v>54</v>
      </c>
      <c r="C41" t="s">
        <v>75</v>
      </c>
      <c r="D41" t="s">
        <v>95</v>
      </c>
    </row>
    <row r="42" spans="1:4" x14ac:dyDescent="0.35">
      <c r="A42">
        <f t="shared" si="0"/>
        <v>39</v>
      </c>
      <c r="B42" s="3" t="s">
        <v>55</v>
      </c>
      <c r="C42" t="s">
        <v>75</v>
      </c>
      <c r="D42" t="s">
        <v>95</v>
      </c>
    </row>
    <row r="43" spans="1:4" x14ac:dyDescent="0.35">
      <c r="A43">
        <f t="shared" si="0"/>
        <v>40</v>
      </c>
      <c r="B43" s="3" t="s">
        <v>56</v>
      </c>
      <c r="C43" t="s">
        <v>75</v>
      </c>
      <c r="D43" t="s">
        <v>95</v>
      </c>
    </row>
    <row r="44" spans="1:4" x14ac:dyDescent="0.35">
      <c r="A44">
        <f t="shared" si="0"/>
        <v>41</v>
      </c>
      <c r="B44" s="4" t="s">
        <v>57</v>
      </c>
      <c r="C44" t="s">
        <v>82</v>
      </c>
      <c r="D44" t="s">
        <v>94</v>
      </c>
    </row>
    <row r="45" spans="1:4" x14ac:dyDescent="0.35">
      <c r="A45">
        <f t="shared" si="0"/>
        <v>42</v>
      </c>
      <c r="B45" s="6" t="s">
        <v>58</v>
      </c>
      <c r="C45" t="s">
        <v>83</v>
      </c>
      <c r="D45" t="s">
        <v>94</v>
      </c>
    </row>
    <row r="46" spans="1:4" x14ac:dyDescent="0.35">
      <c r="A46">
        <f t="shared" si="0"/>
        <v>43</v>
      </c>
      <c r="B46" s="6" t="s">
        <v>59</v>
      </c>
      <c r="C46" t="s">
        <v>84</v>
      </c>
      <c r="D46" t="s">
        <v>94</v>
      </c>
    </row>
    <row r="47" spans="1:4" x14ac:dyDescent="0.35">
      <c r="A47">
        <f t="shared" si="0"/>
        <v>44</v>
      </c>
      <c r="B47" s="3" t="s">
        <v>60</v>
      </c>
      <c r="C47" t="s">
        <v>85</v>
      </c>
      <c r="D47" t="s">
        <v>85</v>
      </c>
    </row>
    <row r="48" spans="1:4" x14ac:dyDescent="0.35">
      <c r="A48">
        <f t="shared" si="0"/>
        <v>45</v>
      </c>
      <c r="B48" s="3" t="s">
        <v>61</v>
      </c>
      <c r="C48" t="s">
        <v>75</v>
      </c>
      <c r="D48" t="s">
        <v>85</v>
      </c>
    </row>
    <row r="49" spans="1:4" x14ac:dyDescent="0.35">
      <c r="A49">
        <f t="shared" si="0"/>
        <v>46</v>
      </c>
      <c r="B49" s="4" t="s">
        <v>62</v>
      </c>
      <c r="C49" t="s">
        <v>86</v>
      </c>
      <c r="D49" t="s">
        <v>94</v>
      </c>
    </row>
    <row r="50" spans="1:4" x14ac:dyDescent="0.35">
      <c r="A50">
        <f t="shared" si="0"/>
        <v>47</v>
      </c>
      <c r="B50" s="3" t="s">
        <v>63</v>
      </c>
      <c r="C50" t="s">
        <v>75</v>
      </c>
    </row>
    <row r="51" spans="1:4" x14ac:dyDescent="0.35">
      <c r="A51">
        <f t="shared" si="0"/>
        <v>48</v>
      </c>
      <c r="B51" s="3" t="s">
        <v>64</v>
      </c>
      <c r="C51" t="s">
        <v>75</v>
      </c>
    </row>
    <row r="52" spans="1:4" x14ac:dyDescent="0.35">
      <c r="A52">
        <f t="shared" si="0"/>
        <v>49</v>
      </c>
      <c r="B52" s="4" t="s">
        <v>65</v>
      </c>
      <c r="C52" t="s">
        <v>87</v>
      </c>
      <c r="D52" t="s">
        <v>94</v>
      </c>
    </row>
    <row r="53" spans="1:4" x14ac:dyDescent="0.35">
      <c r="A53">
        <f t="shared" si="0"/>
        <v>50</v>
      </c>
      <c r="B53" s="6" t="s">
        <v>66</v>
      </c>
      <c r="C53" t="s">
        <v>88</v>
      </c>
      <c r="D53" t="s">
        <v>94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0A27-7DEA-47E7-82BA-39BA328C6ACB}">
  <dimension ref="A1:D13"/>
  <sheetViews>
    <sheetView tabSelected="1" workbookViewId="0">
      <selection activeCell="A14" sqref="A14"/>
    </sheetView>
  </sheetViews>
  <sheetFormatPr defaultRowHeight="14.5" x14ac:dyDescent="0.35"/>
  <cols>
    <col min="3" max="3" width="11.6328125" bestFit="1" customWidth="1"/>
  </cols>
  <sheetData>
    <row r="1" spans="1:4" x14ac:dyDescent="0.35">
      <c r="A1" t="s">
        <v>104</v>
      </c>
    </row>
    <row r="3" spans="1:4" x14ac:dyDescent="0.35">
      <c r="B3" t="s">
        <v>110</v>
      </c>
      <c r="C3" t="s">
        <v>0</v>
      </c>
    </row>
    <row r="5" spans="1:4" x14ac:dyDescent="0.35">
      <c r="A5" t="s">
        <v>105</v>
      </c>
      <c r="B5" t="s">
        <v>111</v>
      </c>
      <c r="C5" t="s">
        <v>112</v>
      </c>
      <c r="D5" t="s">
        <v>109</v>
      </c>
    </row>
    <row r="6" spans="1:4" x14ac:dyDescent="0.35">
      <c r="A6" t="s">
        <v>106</v>
      </c>
      <c r="B6">
        <v>1</v>
      </c>
      <c r="C6">
        <v>2</v>
      </c>
    </row>
    <row r="7" spans="1:4" x14ac:dyDescent="0.35">
      <c r="A7" t="s">
        <v>107</v>
      </c>
      <c r="B7">
        <v>3</v>
      </c>
      <c r="C7">
        <v>2</v>
      </c>
    </row>
    <row r="8" spans="1:4" x14ac:dyDescent="0.35">
      <c r="A8" t="s">
        <v>108</v>
      </c>
      <c r="B8">
        <v>0</v>
      </c>
      <c r="C8">
        <v>1</v>
      </c>
    </row>
    <row r="9" spans="1:4" x14ac:dyDescent="0.35">
      <c r="A9" t="s">
        <v>109</v>
      </c>
      <c r="B9">
        <v>5</v>
      </c>
      <c r="C9">
        <v>8</v>
      </c>
    </row>
    <row r="12" spans="1:4" x14ac:dyDescent="0.35">
      <c r="A12" t="s">
        <v>113</v>
      </c>
    </row>
    <row r="13" spans="1:4" x14ac:dyDescent="0.35">
      <c r="A13" t="s">
        <v>114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Análises</vt:lpstr>
      <vt:lpstr>Formato Cenários</vt:lpstr>
      <vt:lpstr>Formato white space</vt:lpstr>
    </vt:vector>
  </TitlesOfParts>
  <Company>Femsa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Leal Salvador Caetano, Nahana Beatriz</dc:creator>
  <cp:lastModifiedBy>Leal Salvador Caetano, Nahana Beatriz</cp:lastModifiedBy>
  <dcterms:created xsi:type="dcterms:W3CDTF">2025-10-19T21:49:42Z</dcterms:created>
  <dcterms:modified xsi:type="dcterms:W3CDTF">2025-10-19T22:11:16Z</dcterms:modified>
</cp:coreProperties>
</file>